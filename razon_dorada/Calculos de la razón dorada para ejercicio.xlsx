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harts/chart1.xml" ContentType="application/vnd.openxmlformats-officedocument.drawingml.char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<sst xmlns="http://schemas.openxmlformats.org/spreadsheetml/2006/main" count="12" uniqueCount="12">
  <si>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XL</t>
  </si>
  <si>
    <t>XU</t>
  </si>
  <si>
    <t>d</t>
  </si>
  <si>
    <t>X1</t>
  </si>
  <si>
    <t>X2</t>
  </si>
  <si>
    <t>F(X1)</t>
  </si>
  <si>
    <t>F(X2)</t>
  </si>
  <si>
    <t>Evaluación</t>
  </si>
  <si>
    <t>Error</t>
  </si>
  <si>
    <t>Función</t>
  </si>
  <si>
    <t>Constante</t>
  </si>
  <si>
    <t xml:space="preserve">2*SEN(X)-(X^2/10)
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</si>
</sst>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>
    <font>
      <sz val="10.000000"/>
      <color indexed="64"/>
      <name val="Arial"/>
      <scheme val="minor"/>
    </font>
    <font>
      <color theme="1"/>
      <name val="Arial"/>
      <scheme val="minor"/>
    </font>
    <font>
      <sz val="11.000000"/>
      <color rgb="FF11A9CC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1" fillId="0" borderId="0" numFmtId="0" xfId="0" applyFont="1"/>
    <xf fontId="1" fillId="0" borderId="0" numFmtId="164" xfId="0" applyNumberFormat="1" applyFont="1" applyAlignment="1">
      <alignment readingOrder="0"/>
    </xf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Error</a:t>
            </a:r>
            <a:endParaRPr/>
          </a:p>
        </c:rich>
      </c:tx>
      <c:layout>
        <c:manualLayout>
          <c:x val="-0.002130"/>
          <c:y val="0.003460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'Hoja 1'!$I$1</c:f>
            </c:strRef>
          </c:tx>
          <c:spPr bwMode="auto">
            <a:prstGeom prst="rect">
              <a:avLst/>
            </a:prstGeom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'Hoja 1'!$I$2:$I$20</c:f>
              <c:numCache/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835957511"/>
        <c:axId val="1480319702"/>
      </c:lineChart>
      <c:catAx>
        <c:axId val="835957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spPr bwMode="au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1480319702"/>
        <c:crosses val="autoZero"/>
        <c:noMultiLvlLbl val="0"/>
      </c:catAx>
      <c:valAx>
        <c:axId val="148031970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minorGridlines>
          <c:spPr bwMode="auto">
            <a:prstGeom prst="rect">
              <a:avLst/>
            </a:prstGeom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Error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83595751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/>
        </a:p>
      </c:txPr>
    </c:legend>
    <c:plotVisOnly val="1"/>
    <c:showDLblsOverMax val="0"/>
  </c:chart>
  <c:spPr bwMode="auto">
    <a:xfrm rot="0">
      <a:off x="8972549" y="1142999"/>
      <a:ext cx="4457699" cy="2752724"/>
    </a:xfrm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9</xdr:col>
      <xdr:colOff>314324</xdr:colOff>
      <xdr:row>5</xdr:row>
      <xdr:rowOff>114299</xdr:rowOff>
    </xdr:from>
    <xdr:ext cx="4457699" cy="2752724"/>
    <xdr:graphicFrame>
      <xdr:nvGraphicFramePr>
        <xdr:cNvPr id="1" name="Chart 1" title="Gráfico"/>
        <xdr:cNvGraphicFramePr>
          <a:graphicFrameLocks xmlns:a="http://schemas.openxmlformats.org/drawingml/2006/main"/>
        </xdr:cNvGraphicFramePr>
      </xdr:nvGraphicFramePr>
      <xdr:xfrm rot="0">
        <a:off x="8972549" y="1142999"/>
        <a:ext cx="4457699" cy="27527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0" max="10" width="1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0</v>
      </c>
      <c r="B2" s="1">
        <v>4</v>
      </c>
      <c r="C2" s="2">
        <f t="shared" ref="C2:C20" si="0">$K$2*(B2-A2)</f>
        <v>2.472</v>
      </c>
      <c r="D2" s="2">
        <f t="shared" ref="D2:D20" si="1">A2+C2</f>
        <v>2.472</v>
      </c>
      <c r="E2" s="2">
        <f t="shared" ref="E2:E20" si="2">B2-C2</f>
        <v>1.528</v>
      </c>
      <c r="F2" s="1">
        <f t="shared" ref="F2:G9" si="3">MULTIPLY(2,SIN(D2))-DIVIDE(POWER(D2,2),10)</f>
        <v>0.63025489720000005</v>
      </c>
      <c r="G2" s="1">
        <f t="shared" si="3"/>
        <v>1.7646903540000001</v>
      </c>
      <c r="H2" s="2" t="str">
        <f t="shared" ref="H2:H20" si="4">IF(G2&gt;F2,"F(X2)&gt;F(X1)","F(X2)&lt;F(X1)")</f>
        <v>F(X2)&gt;F(X1)</v>
      </c>
      <c r="I2" s="2">
        <f t="shared" ref="I2:I20" si="5">ABS(D2-E2)</f>
        <v>0.94399999999999995</v>
      </c>
      <c r="J2" s="1" t="s">
        <v>11</v>
      </c>
      <c r="K2" s="3">
        <v>0.61799999999999999</v>
      </c>
    </row>
    <row r="3" ht="16.5">
      <c r="A3" s="2">
        <f t="shared" ref="A3:A20" si="6">IF(H2="F(X2)&gt;F(X1)",A2,E2
)</f>
        <v>0</v>
      </c>
      <c r="B3" s="4">
        <f t="shared" ref="B3:B20" si="7">IF(H2="F(X2)&gt;F(X1)",D2,B2
)</f>
        <v>2.472</v>
      </c>
      <c r="C3" s="2">
        <f t="shared" si="0"/>
        <v>1.5276959999999999</v>
      </c>
      <c r="D3" s="2">
        <f t="shared" si="1"/>
        <v>1.5276959999999999</v>
      </c>
      <c r="E3" s="2">
        <f t="shared" si="2"/>
        <v>0.94430400000000003</v>
      </c>
      <c r="F3" s="1">
        <f t="shared" si="3"/>
        <v>1.764757143</v>
      </c>
      <c r="G3" s="1">
        <f t="shared" si="3"/>
        <v>1.5310071160000001</v>
      </c>
      <c r="H3" s="2" t="str">
        <f t="shared" si="4"/>
        <v>F(X2)&lt;F(X1)</v>
      </c>
      <c r="I3" s="2">
        <f t="shared" si="5"/>
        <v>0.58339200000000002</v>
      </c>
    </row>
    <row r="4" ht="16.5">
      <c r="A4" s="2">
        <f t="shared" si="6"/>
        <v>0.94430400000000003</v>
      </c>
      <c r="B4" s="4">
        <f t="shared" si="7"/>
        <v>2.472</v>
      </c>
      <c r="C4" s="2">
        <f t="shared" si="0"/>
        <v>0.944116128</v>
      </c>
      <c r="D4" s="2">
        <f t="shared" si="1"/>
        <v>1.8884201279999999</v>
      </c>
      <c r="E4" s="2">
        <f t="shared" si="2"/>
        <v>1.5278838720000001</v>
      </c>
      <c r="F4" s="1">
        <f t="shared" si="3"/>
        <v>1.543347362</v>
      </c>
      <c r="G4" s="1">
        <f t="shared" si="3"/>
        <v>1.764715891</v>
      </c>
      <c r="H4" s="2" t="str">
        <f t="shared" si="4"/>
        <v>F(X2)&gt;F(X1)</v>
      </c>
      <c r="I4" s="2">
        <f t="shared" si="5"/>
        <v>0.360536256</v>
      </c>
    </row>
    <row r="5" ht="16.5">
      <c r="A5" s="2">
        <f t="shared" si="6"/>
        <v>0.94430400000000003</v>
      </c>
      <c r="B5" s="4">
        <f t="shared" si="7"/>
        <v>1.8884201279999999</v>
      </c>
      <c r="C5" s="2">
        <f t="shared" si="0"/>
        <v>0.58346376710000003</v>
      </c>
      <c r="D5" s="2">
        <f t="shared" si="1"/>
        <v>1.5277677670000001</v>
      </c>
      <c r="E5" s="2">
        <f t="shared" si="2"/>
        <v>1.3049563609999999</v>
      </c>
      <c r="F5" s="1">
        <f t="shared" si="3"/>
        <v>1.7647413940000001</v>
      </c>
      <c r="G5" s="1">
        <f t="shared" si="3"/>
        <v>1.759453221</v>
      </c>
      <c r="H5" s="2" t="str">
        <f t="shared" si="4"/>
        <v>F(X2)&lt;F(X1)</v>
      </c>
      <c r="I5" s="2">
        <f t="shared" si="5"/>
        <v>0.22281140620000001</v>
      </c>
    </row>
    <row r="6" ht="16.5">
      <c r="A6" s="2">
        <f t="shared" si="6"/>
        <v>1.3049563609999999</v>
      </c>
      <c r="B6" s="4">
        <f t="shared" si="7"/>
        <v>1.8884201279999999</v>
      </c>
      <c r="C6" s="2">
        <f t="shared" si="0"/>
        <v>0.36058060809999998</v>
      </c>
      <c r="D6" s="2">
        <f t="shared" si="1"/>
        <v>1.6655369689999999</v>
      </c>
      <c r="E6" s="2">
        <f t="shared" si="2"/>
        <v>1.5278395199999999</v>
      </c>
      <c r="F6" s="1">
        <f t="shared" si="3"/>
        <v>1.7136295829999999</v>
      </c>
      <c r="G6" s="1">
        <f t="shared" si="3"/>
        <v>1.764725637</v>
      </c>
      <c r="H6" s="2" t="str">
        <f t="shared" si="4"/>
        <v>F(X2)&gt;F(X1)</v>
      </c>
      <c r="I6" s="2">
        <f t="shared" si="5"/>
        <v>0.137697449</v>
      </c>
    </row>
    <row r="7" ht="16.5">
      <c r="A7" s="2">
        <f t="shared" si="6"/>
        <v>1.3049563609999999</v>
      </c>
      <c r="B7" s="4">
        <f t="shared" si="7"/>
        <v>1.6655369689999999</v>
      </c>
      <c r="C7" s="2">
        <f t="shared" si="0"/>
        <v>0.22283881580000001</v>
      </c>
      <c r="D7" s="2">
        <f t="shared" si="1"/>
        <v>1.527795177</v>
      </c>
      <c r="E7" s="2">
        <f t="shared" si="2"/>
        <v>1.442698153</v>
      </c>
      <c r="F7" s="1">
        <f t="shared" si="3"/>
        <v>1.764735376</v>
      </c>
      <c r="G7" s="1">
        <f t="shared" si="3"/>
        <v>1.7754754880000001</v>
      </c>
      <c r="H7" s="2" t="str">
        <f t="shared" si="4"/>
        <v>F(X2)&gt;F(X1)</v>
      </c>
      <c r="I7" s="2">
        <f t="shared" si="5"/>
        <v>0.085097023499999994</v>
      </c>
    </row>
    <row r="8" ht="16.5">
      <c r="A8" s="2">
        <f t="shared" si="6"/>
        <v>1.3049563609999999</v>
      </c>
      <c r="B8" s="4">
        <f t="shared" si="7"/>
        <v>1.527795177</v>
      </c>
      <c r="C8" s="2">
        <f t="shared" si="0"/>
        <v>0.13771438820000001</v>
      </c>
      <c r="D8" s="2">
        <f t="shared" si="1"/>
        <v>1.4426707489999999</v>
      </c>
      <c r="E8" s="2">
        <f t="shared" si="2"/>
        <v>1.390080789</v>
      </c>
      <c r="F8" s="1">
        <f t="shared" si="3"/>
        <v>1.7754763929999999</v>
      </c>
      <c r="G8" s="1">
        <f t="shared" si="3"/>
        <v>1.7741982169999999</v>
      </c>
      <c r="H8" s="2" t="str">
        <f t="shared" si="4"/>
        <v>F(X2)&lt;F(X1)</v>
      </c>
      <c r="I8" s="2">
        <f t="shared" si="5"/>
        <v>0.05258996053</v>
      </c>
    </row>
    <row r="9" ht="16.5">
      <c r="A9" s="2">
        <f t="shared" si="6"/>
        <v>1.390080789</v>
      </c>
      <c r="B9" s="4">
        <f t="shared" si="7"/>
        <v>1.527795177</v>
      </c>
      <c r="C9" s="2">
        <f t="shared" si="0"/>
        <v>0.085107491879999997</v>
      </c>
      <c r="D9" s="2">
        <f t="shared" si="1"/>
        <v>1.47518828</v>
      </c>
      <c r="E9" s="2">
        <f t="shared" si="2"/>
        <v>1.4426876850000001</v>
      </c>
      <c r="F9" s="1">
        <f t="shared" si="3"/>
        <v>1.7732480159999999</v>
      </c>
      <c r="G9" s="1">
        <f t="shared" si="3"/>
        <v>1.7754758340000001</v>
      </c>
      <c r="H9" s="2" t="str">
        <f t="shared" si="4"/>
        <v>F(X2)&gt;F(X1)</v>
      </c>
      <c r="I9" s="2">
        <f t="shared" si="5"/>
        <v>0.032500595600000001</v>
      </c>
    </row>
    <row r="10" ht="16.5">
      <c r="A10" s="2">
        <f t="shared" si="6"/>
        <v>1.390080789</v>
      </c>
      <c r="B10" s="4">
        <f t="shared" si="7"/>
        <v>1.47518828</v>
      </c>
      <c r="C10" s="2">
        <f t="shared" si="0"/>
        <v>0.052596429979999998</v>
      </c>
      <c r="D10" s="2">
        <f t="shared" si="1"/>
        <v>1.4426772189999999</v>
      </c>
      <c r="E10" s="2">
        <f t="shared" si="2"/>
        <v>1.4225918500000001</v>
      </c>
      <c r="F10" s="1">
        <f t="shared" ref="F10:G20" si="8">MULTIPLY(2,SIN(D10))-DIVIDE(POWER(D10,2),10)</f>
        <v>1.775476179</v>
      </c>
      <c r="G10" s="1">
        <f t="shared" si="8"/>
        <v>1.7756988499999999</v>
      </c>
      <c r="H10" s="2" t="str">
        <f t="shared" si="4"/>
        <v>F(X2)&gt;F(X1)</v>
      </c>
      <c r="I10" s="2">
        <f t="shared" si="5"/>
        <v>0.020085368079999999</v>
      </c>
    </row>
    <row r="11" ht="16.5">
      <c r="A11" s="2">
        <f t="shared" si="6"/>
        <v>1.390080789</v>
      </c>
      <c r="B11" s="4">
        <f t="shared" si="7"/>
        <v>1.4426772189999999</v>
      </c>
      <c r="C11" s="2">
        <f t="shared" si="0"/>
        <v>0.032504593730000003</v>
      </c>
      <c r="D11" s="2">
        <f t="shared" si="1"/>
        <v>1.4225853820000001</v>
      </c>
      <c r="E11" s="2">
        <f t="shared" si="2"/>
        <v>1.410172625</v>
      </c>
      <c r="F11" s="1">
        <f t="shared" si="8"/>
        <v>1.7756987799999999</v>
      </c>
      <c r="G11" s="1">
        <f t="shared" si="8"/>
        <v>1.775396765</v>
      </c>
      <c r="H11" s="2" t="str">
        <f t="shared" si="4"/>
        <v>F(X2)&lt;F(X1)</v>
      </c>
      <c r="I11" s="2">
        <f t="shared" si="5"/>
        <v>0.01241275748</v>
      </c>
    </row>
    <row r="12" ht="16.5">
      <c r="A12" s="2">
        <f t="shared" si="6"/>
        <v>1.410172625</v>
      </c>
      <c r="B12" s="4">
        <f t="shared" si="7"/>
        <v>1.4426772189999999</v>
      </c>
      <c r="C12" s="2">
        <f t="shared" si="0"/>
        <v>0.02008783892</v>
      </c>
      <c r="D12" s="2">
        <f t="shared" si="1"/>
        <v>1.4302604640000001</v>
      </c>
      <c r="E12" s="2">
        <f t="shared" si="2"/>
        <v>1.42258938</v>
      </c>
      <c r="F12" s="1">
        <f t="shared" si="8"/>
        <v>1.7757176569999999</v>
      </c>
      <c r="G12" s="1">
        <f t="shared" si="8"/>
        <v>1.7756988229999999</v>
      </c>
      <c r="H12" s="2" t="str">
        <f t="shared" si="4"/>
        <v>F(X2)&lt;F(X1)</v>
      </c>
      <c r="I12" s="2">
        <f t="shared" si="5"/>
        <v>0.0076710841200000003</v>
      </c>
    </row>
    <row r="13" ht="16.5">
      <c r="A13" s="2">
        <f t="shared" si="6"/>
        <v>1.42258938</v>
      </c>
      <c r="B13" s="4">
        <f t="shared" si="7"/>
        <v>1.4426772189999999</v>
      </c>
      <c r="C13" s="2">
        <f t="shared" si="0"/>
        <v>0.012414284459999999</v>
      </c>
      <c r="D13" s="2">
        <f t="shared" si="1"/>
        <v>1.4350036639999999</v>
      </c>
      <c r="E13" s="2">
        <f t="shared" si="2"/>
        <v>1.4302629339999999</v>
      </c>
      <c r="F13" s="1">
        <f t="shared" si="8"/>
        <v>1.7756651189999999</v>
      </c>
      <c r="G13" s="1">
        <f t="shared" si="8"/>
        <v>1.775717642</v>
      </c>
      <c r="H13" s="2" t="str">
        <f t="shared" si="4"/>
        <v>F(X2)&gt;F(X1)</v>
      </c>
      <c r="I13" s="2">
        <f t="shared" si="5"/>
        <v>0.0047407299860000003</v>
      </c>
    </row>
    <row r="14" ht="16.5">
      <c r="A14" s="2">
        <f t="shared" si="6"/>
        <v>1.42258938</v>
      </c>
      <c r="B14" s="4">
        <f t="shared" si="7"/>
        <v>1.4350036639999999</v>
      </c>
      <c r="C14" s="2">
        <f t="shared" si="0"/>
        <v>0.0076720277930000004</v>
      </c>
      <c r="D14" s="2">
        <f t="shared" si="1"/>
        <v>1.4302614069999999</v>
      </c>
      <c r="E14" s="2">
        <f t="shared" si="2"/>
        <v>1.4273316359999999</v>
      </c>
      <c r="F14" s="1">
        <f t="shared" si="8"/>
        <v>1.7757176509999999</v>
      </c>
      <c r="G14" s="1">
        <f t="shared" si="8"/>
        <v>1.7757255999999999</v>
      </c>
      <c r="H14" s="2" t="str">
        <f t="shared" si="4"/>
        <v>F(X2)&gt;F(X1)</v>
      </c>
      <c r="I14" s="2">
        <f t="shared" si="5"/>
        <v>0.0029297711310000002</v>
      </c>
    </row>
    <row r="15" ht="16.5">
      <c r="A15" s="2">
        <f t="shared" si="6"/>
        <v>1.42258938</v>
      </c>
      <c r="B15" s="4">
        <f t="shared" si="7"/>
        <v>1.4302614069999999</v>
      </c>
      <c r="C15" s="2">
        <f t="shared" si="0"/>
        <v>0.0047413131759999998</v>
      </c>
      <c r="D15" s="2">
        <f t="shared" si="1"/>
        <v>1.427330693</v>
      </c>
      <c r="E15" s="2">
        <f t="shared" si="2"/>
        <v>1.4255200939999999</v>
      </c>
      <c r="F15" s="1">
        <f t="shared" si="8"/>
        <v>1.7757255999999999</v>
      </c>
      <c r="G15" s="1">
        <f t="shared" si="8"/>
        <v>1.7757211550000001</v>
      </c>
      <c r="H15" s="2" t="str">
        <f t="shared" si="4"/>
        <v>F(X2)&lt;F(X1)</v>
      </c>
      <c r="I15" s="2">
        <f t="shared" si="5"/>
        <v>0.001810598559</v>
      </c>
    </row>
    <row r="16" ht="16.5">
      <c r="A16" s="2">
        <f t="shared" si="6"/>
        <v>1.4255200939999999</v>
      </c>
      <c r="B16" s="4">
        <f t="shared" si="7"/>
        <v>1.4302614069999999</v>
      </c>
      <c r="C16" s="2">
        <f t="shared" si="0"/>
        <v>0.0029301315429999999</v>
      </c>
      <c r="D16" s="2">
        <f t="shared" si="1"/>
        <v>1.428450226</v>
      </c>
      <c r="E16" s="2">
        <f t="shared" si="2"/>
        <v>1.4273312760000001</v>
      </c>
      <c r="F16" s="1">
        <f t="shared" si="8"/>
        <v>1.7757247730000001</v>
      </c>
      <c r="G16" s="1">
        <f t="shared" si="8"/>
        <v>1.7757255999999999</v>
      </c>
      <c r="H16" s="2" t="str">
        <f t="shared" si="4"/>
        <v>F(X2)&gt;F(X1)</v>
      </c>
      <c r="I16" s="2">
        <f t="shared" si="5"/>
        <v>0.00111894991</v>
      </c>
    </row>
    <row r="17" ht="16.5">
      <c r="A17" s="2">
        <f t="shared" si="6"/>
        <v>1.4255200939999999</v>
      </c>
      <c r="B17" s="4">
        <f t="shared" si="7"/>
        <v>1.428450226</v>
      </c>
      <c r="C17" s="2">
        <f t="shared" si="0"/>
        <v>0.0018108212939999999</v>
      </c>
      <c r="D17" s="2">
        <f t="shared" si="1"/>
        <v>1.427330915</v>
      </c>
      <c r="E17" s="2">
        <f t="shared" si="2"/>
        <v>1.4266394040000001</v>
      </c>
      <c r="F17" s="1">
        <f t="shared" si="8"/>
        <v>1.7757255999999999</v>
      </c>
      <c r="G17" s="1">
        <f t="shared" si="8"/>
        <v>1.7757247460000001</v>
      </c>
      <c r="H17" s="2" t="str">
        <f t="shared" si="4"/>
        <v>F(X2)&lt;F(X1)</v>
      </c>
      <c r="I17" s="2">
        <f t="shared" si="5"/>
        <v>0.00069151104410000003</v>
      </c>
    </row>
    <row r="18" ht="16.5">
      <c r="A18" s="2">
        <f t="shared" si="6"/>
        <v>1.4266394040000001</v>
      </c>
      <c r="B18" s="4">
        <f t="shared" si="7"/>
        <v>1.428450226</v>
      </c>
      <c r="C18" s="2">
        <f t="shared" si="0"/>
        <v>0.0011190875590000001</v>
      </c>
      <c r="D18" s="2">
        <f t="shared" si="1"/>
        <v>1.4277584919999999</v>
      </c>
      <c r="E18" s="2">
        <f t="shared" si="2"/>
        <v>1.427331138</v>
      </c>
      <c r="F18" s="1">
        <f t="shared" si="8"/>
        <v>1.775725607</v>
      </c>
      <c r="G18" s="1">
        <f t="shared" si="8"/>
        <v>1.7757255999999999</v>
      </c>
      <c r="H18" s="2" t="str">
        <f t="shared" si="4"/>
        <v>F(X2)&lt;F(X1)</v>
      </c>
      <c r="I18" s="2">
        <f t="shared" si="5"/>
        <v>0.0004273538253</v>
      </c>
    </row>
    <row r="19" ht="16.5">
      <c r="A19" s="2">
        <f t="shared" si="6"/>
        <v>1.427331138</v>
      </c>
      <c r="B19" s="4">
        <f t="shared" si="7"/>
        <v>1.428450226</v>
      </c>
      <c r="C19" s="2">
        <f t="shared" si="0"/>
        <v>0.00069159611169999999</v>
      </c>
      <c r="D19" s="2">
        <f t="shared" si="1"/>
        <v>1.428022734</v>
      </c>
      <c r="E19" s="2">
        <f t="shared" si="2"/>
        <v>1.42775863</v>
      </c>
      <c r="F19" s="1">
        <f t="shared" si="8"/>
        <v>1.775725411</v>
      </c>
      <c r="G19" s="1">
        <f t="shared" si="8"/>
        <v>1.775725607</v>
      </c>
      <c r="H19" s="2" t="str">
        <f t="shared" si="4"/>
        <v>F(X2)&gt;F(X1)</v>
      </c>
      <c r="I19" s="2">
        <f t="shared" si="5"/>
        <v>0.00026410466399999998</v>
      </c>
    </row>
    <row r="20" ht="16.5">
      <c r="A20" s="2">
        <f t="shared" si="6"/>
        <v>1.427331138</v>
      </c>
      <c r="B20" s="4">
        <f t="shared" si="7"/>
        <v>1.428022734</v>
      </c>
      <c r="C20" s="2">
        <f t="shared" si="0"/>
        <v>0.00042740639700000001</v>
      </c>
      <c r="D20" s="2">
        <f t="shared" si="1"/>
        <v>1.4277585450000001</v>
      </c>
      <c r="E20" s="2">
        <f t="shared" si="2"/>
        <v>1.427595328</v>
      </c>
      <c r="F20" s="1">
        <f t="shared" si="8"/>
        <v>1.775725607</v>
      </c>
      <c r="G20" s="1">
        <f t="shared" si="8"/>
        <v>1.7757256509999999</v>
      </c>
      <c r="H20" s="2" t="str">
        <f t="shared" si="4"/>
        <v>F(X2)&gt;F(X1)</v>
      </c>
      <c r="I20" s="2">
        <f t="shared" si="5"/>
        <v>0.0001632166824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